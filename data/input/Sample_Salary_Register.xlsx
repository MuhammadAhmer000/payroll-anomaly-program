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_2025_Modified" sheetId="1" r:id="rId4"/>
  </sheets>
  <definedNames/>
  <calcPr/>
</workbook>
</file>

<file path=xl/sharedStrings.xml><?xml version="1.0" encoding="utf-8"?>
<sst xmlns="http://schemas.openxmlformats.org/spreadsheetml/2006/main" count="188" uniqueCount="33">
  <si>
    <t>Month</t>
  </si>
  <si>
    <t>Employee ID</t>
  </si>
  <si>
    <t>Employee Name</t>
  </si>
  <si>
    <t>Department</t>
  </si>
  <si>
    <t>Designation</t>
  </si>
  <si>
    <t>Month Days</t>
  </si>
  <si>
    <t>Paid Days</t>
  </si>
  <si>
    <t>LWP</t>
  </si>
  <si>
    <t>CTC (Annual)</t>
  </si>
  <si>
    <t>Gross Salary</t>
  </si>
  <si>
    <t>Basic</t>
  </si>
  <si>
    <t>HRA</t>
  </si>
  <si>
    <t>Special Allowance</t>
  </si>
  <si>
    <t>Conveyance</t>
  </si>
  <si>
    <t>Medical</t>
  </si>
  <si>
    <t>Other Allowances</t>
  </si>
  <si>
    <t>Incentive</t>
  </si>
  <si>
    <t>Variable Pay</t>
  </si>
  <si>
    <t>Investments (80C)</t>
  </si>
  <si>
    <t>Total Earnings</t>
  </si>
  <si>
    <t>PF</t>
  </si>
  <si>
    <t>PT</t>
  </si>
  <si>
    <t>TDS</t>
  </si>
  <si>
    <t>Other Deductions</t>
  </si>
  <si>
    <t>Total Deductions</t>
  </si>
  <si>
    <t>Net Payable</t>
  </si>
  <si>
    <t>1001</t>
  </si>
  <si>
    <t>AAAA</t>
  </si>
  <si>
    <t>N/A</t>
  </si>
  <si>
    <t>1004</t>
  </si>
  <si>
    <t>BBB</t>
  </si>
  <si>
    <t>2004</t>
  </si>
  <si>
    <t>CCCC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</si>
</sst>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4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vertical="bottom"/>
    </xf>
    <xf borderId="1" fillId="3" fontId="1" numFmtId="0" xfId="0" applyBorder="1" applyFont="1"/>
    <xf borderId="2" fillId="0" fontId="3" numFmtId="164" xfId="0" applyAlignment="1" applyBorder="1" applyFont="1" applyNumberFormat="1">
      <alignment horizontal="right" vertical="bottom"/>
    </xf>
    <xf quotePrefix="1"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right" vertical="bottom"/>
    </xf>
    <xf borderId="2" fillId="0" fontId="0" numFmtId="0" xfId="0" applyAlignment="1" applyBorder="1" applyFont="1">
      <alignment horizontal="right" vertical="bottom"/>
    </xf>
    <xf borderId="2" fillId="0" fontId="3" numFmtId="0" xfId="0" applyBorder="1" applyFont="1"/>
    <xf borderId="3" fillId="0" fontId="3" numFmtId="164" xfId="0" applyAlignment="1" applyBorder="1" applyFont="1" applyNumberFormat="1">
      <alignment horizontal="right" vertical="bottom"/>
    </xf>
    <xf quotePrefix="1"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right" vertical="bottom"/>
    </xf>
    <xf borderId="3" fillId="0" fontId="0" numFmtId="0" xfId="0" applyAlignment="1" applyBorder="1" applyFont="1">
      <alignment horizontal="right" vertical="bottom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57"/>
    <col customWidth="1" min="27" max="27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</row>
    <row r="2" ht="14.25" customHeight="1">
      <c r="A2" s="4">
        <v>45748.0</v>
      </c>
      <c r="B2" s="5" t="s">
        <v>26</v>
      </c>
      <c r="C2" s="6" t="s">
        <v>27</v>
      </c>
      <c r="D2" s="7" t="s">
        <v>28</v>
      </c>
      <c r="E2" s="7" t="s">
        <v>28</v>
      </c>
      <c r="F2" s="7" t="s">
        <v>28</v>
      </c>
      <c r="G2" s="8">
        <v>30.0</v>
      </c>
      <c r="H2" s="8">
        <v>0.0</v>
      </c>
      <c r="I2" s="8">
        <v>350000.0</v>
      </c>
      <c r="J2" s="9">
        <v>475102.0</v>
      </c>
      <c r="K2" s="9">
        <v>105000.0</v>
      </c>
      <c r="L2" s="9">
        <v>52500.0</v>
      </c>
      <c r="M2" s="9">
        <f t="shared" ref="M2:M28" si="1">G2+H2+J2</f>
        <v>475132</v>
      </c>
      <c r="N2" s="9">
        <v>62500.0</v>
      </c>
      <c r="O2" s="7" t="s">
        <v>28</v>
      </c>
      <c r="P2" s="7">
        <v>39750.0</v>
      </c>
      <c r="Q2" s="9">
        <v>120000.0</v>
      </c>
      <c r="R2" s="9">
        <v>60000.0</v>
      </c>
      <c r="S2" s="8">
        <v>0.0</v>
      </c>
      <c r="T2" s="10">
        <f t="shared" ref="T2:T28" si="2">K2+L2+M2+P2+Q2+R2</f>
        <v>852382</v>
      </c>
      <c r="U2" s="9">
        <v>12600.0</v>
      </c>
      <c r="V2" s="9">
        <v>200.0</v>
      </c>
      <c r="W2" s="9">
        <v>15745.0</v>
      </c>
      <c r="X2" s="9">
        <v>10000.0</v>
      </c>
      <c r="Y2" s="9">
        <v>98545.0</v>
      </c>
      <c r="Z2" s="9">
        <v>376557.0</v>
      </c>
    </row>
    <row r="3" ht="14.25" customHeight="1">
      <c r="A3" s="4">
        <v>45748.0</v>
      </c>
      <c r="B3" s="5" t="s">
        <v>29</v>
      </c>
      <c r="C3" s="6" t="s">
        <v>30</v>
      </c>
      <c r="D3" s="7" t="s">
        <v>28</v>
      </c>
      <c r="E3" s="7" t="s">
        <v>28</v>
      </c>
      <c r="F3" s="7" t="s">
        <v>28</v>
      </c>
      <c r="G3" s="8">
        <v>30.0</v>
      </c>
      <c r="H3" s="8">
        <v>1.0</v>
      </c>
      <c r="I3" s="8">
        <v>882917.0</v>
      </c>
      <c r="J3" s="9">
        <v>703850.0</v>
      </c>
      <c r="K3" s="9">
        <v>256046.0</v>
      </c>
      <c r="L3" s="9">
        <v>128023.0</v>
      </c>
      <c r="M3" s="9">
        <f t="shared" si="1"/>
        <v>703881</v>
      </c>
      <c r="N3" s="9">
        <v>0.0</v>
      </c>
      <c r="O3" s="7" t="s">
        <v>28</v>
      </c>
      <c r="P3" s="7">
        <v>60239.0</v>
      </c>
      <c r="Q3" s="9">
        <v>13500.0</v>
      </c>
      <c r="R3" s="9">
        <v>6200.0</v>
      </c>
      <c r="S3" s="8">
        <v>26488.0</v>
      </c>
      <c r="T3" s="10">
        <f t="shared" si="2"/>
        <v>1167889</v>
      </c>
      <c r="U3" s="9">
        <v>1800.0</v>
      </c>
      <c r="V3" s="9">
        <v>200.0</v>
      </c>
      <c r="W3" s="9">
        <v>90300.0</v>
      </c>
      <c r="X3" s="9">
        <v>0.0</v>
      </c>
      <c r="Y3" s="9">
        <v>92300.0</v>
      </c>
      <c r="Z3" s="9">
        <v>611550.0</v>
      </c>
    </row>
    <row r="4" ht="14.25" customHeight="1">
      <c r="A4" s="4">
        <v>45748.0</v>
      </c>
      <c r="B4" s="5" t="s">
        <v>31</v>
      </c>
      <c r="C4" s="6" t="s">
        <v>32</v>
      </c>
      <c r="D4" s="7" t="s">
        <v>28</v>
      </c>
      <c r="E4" s="7" t="s">
        <v>28</v>
      </c>
      <c r="F4" s="7" t="s">
        <v>28</v>
      </c>
      <c r="G4" s="8">
        <v>30.0</v>
      </c>
      <c r="H4" s="8">
        <v>0.0</v>
      </c>
      <c r="I4" s="8">
        <v>249751.0</v>
      </c>
      <c r="J4" s="9">
        <v>227914.0</v>
      </c>
      <c r="K4" s="9">
        <v>74925.0</v>
      </c>
      <c r="L4" s="9">
        <v>37463.0</v>
      </c>
      <c r="M4" s="9">
        <f t="shared" si="1"/>
        <v>227944</v>
      </c>
      <c r="N4" s="9">
        <v>56667.0</v>
      </c>
      <c r="O4" s="7" t="s">
        <v>28</v>
      </c>
      <c r="P4" s="7">
        <v>11744.0</v>
      </c>
      <c r="Q4" s="9">
        <v>0.0</v>
      </c>
      <c r="R4" s="9">
        <v>0.0</v>
      </c>
      <c r="S4" s="8">
        <v>0.0</v>
      </c>
      <c r="T4" s="10">
        <f t="shared" si="2"/>
        <v>352076</v>
      </c>
      <c r="U4" s="9">
        <v>8991.0</v>
      </c>
      <c r="V4" s="9">
        <v>200.0</v>
      </c>
      <c r="W4" s="9">
        <v>12345.0</v>
      </c>
      <c r="X4" s="9">
        <v>0.0</v>
      </c>
      <c r="Y4" s="9">
        <v>29536.0</v>
      </c>
      <c r="Z4" s="9">
        <v>198378.0</v>
      </c>
    </row>
    <row r="5" ht="14.25" customHeight="1">
      <c r="A5" s="4">
        <v>45778.0</v>
      </c>
      <c r="B5" s="5" t="s">
        <v>26</v>
      </c>
      <c r="C5" s="6" t="s">
        <v>27</v>
      </c>
      <c r="D5" s="7" t="s">
        <v>28</v>
      </c>
      <c r="E5" s="7" t="s">
        <v>28</v>
      </c>
      <c r="F5" s="7" t="s">
        <v>28</v>
      </c>
      <c r="G5" s="8">
        <v>31.0</v>
      </c>
      <c r="H5" s="8">
        <v>0.0</v>
      </c>
      <c r="I5" s="8">
        <v>350000.0</v>
      </c>
      <c r="J5" s="9">
        <v>295102.0</v>
      </c>
      <c r="K5" s="9">
        <v>105000.0</v>
      </c>
      <c r="L5" s="9">
        <v>52500.0</v>
      </c>
      <c r="M5" s="9">
        <f t="shared" si="1"/>
        <v>295133</v>
      </c>
      <c r="N5" s="9">
        <v>62500.0</v>
      </c>
      <c r="O5" s="7" t="s">
        <v>28</v>
      </c>
      <c r="P5" s="7">
        <v>39750.0</v>
      </c>
      <c r="Q5" s="9">
        <v>0.0</v>
      </c>
      <c r="R5" s="9">
        <v>0.0</v>
      </c>
      <c r="S5" s="8">
        <v>0.0</v>
      </c>
      <c r="T5" s="10">
        <f t="shared" si="2"/>
        <v>492383</v>
      </c>
      <c r="U5" s="9">
        <v>12600.0</v>
      </c>
      <c r="V5" s="9">
        <v>200.0</v>
      </c>
      <c r="W5" s="9">
        <v>12345.0</v>
      </c>
      <c r="X5" s="9">
        <v>0.0</v>
      </c>
      <c r="Y5" s="9">
        <v>25145.0</v>
      </c>
      <c r="Z5" s="9">
        <v>269957.0</v>
      </c>
    </row>
    <row r="6" ht="14.25" customHeight="1">
      <c r="A6" s="4">
        <v>45778.0</v>
      </c>
      <c r="B6" s="5" t="s">
        <v>29</v>
      </c>
      <c r="C6" s="6" t="s">
        <v>30</v>
      </c>
      <c r="D6" s="7" t="s">
        <v>28</v>
      </c>
      <c r="E6" s="7" t="s">
        <v>28</v>
      </c>
      <c r="F6" s="7" t="s">
        <v>28</v>
      </c>
      <c r="G6" s="8">
        <v>31.0</v>
      </c>
      <c r="H6" s="8">
        <v>0.0</v>
      </c>
      <c r="I6" s="8">
        <v>882917.0</v>
      </c>
      <c r="J6" s="9">
        <v>730571.0</v>
      </c>
      <c r="K6" s="9">
        <v>273419.0</v>
      </c>
      <c r="L6" s="9">
        <v>136710.0</v>
      </c>
      <c r="M6" s="9">
        <f t="shared" si="1"/>
        <v>730602</v>
      </c>
      <c r="N6" s="9">
        <v>0.0</v>
      </c>
      <c r="O6" s="7" t="s">
        <v>28</v>
      </c>
      <c r="P6" s="7">
        <v>60239.0</v>
      </c>
      <c r="Q6" s="9">
        <v>0.0</v>
      </c>
      <c r="R6" s="9">
        <v>0.0</v>
      </c>
      <c r="S6" s="8">
        <v>26488.0</v>
      </c>
      <c r="T6" s="10">
        <f t="shared" si="2"/>
        <v>1200970</v>
      </c>
      <c r="U6" s="9">
        <v>1800.0</v>
      </c>
      <c r="V6" s="9">
        <v>200.0</v>
      </c>
      <c r="W6" s="9">
        <v>67500.0</v>
      </c>
      <c r="X6" s="9">
        <v>0.0</v>
      </c>
      <c r="Y6" s="9">
        <v>69500.0</v>
      </c>
      <c r="Z6" s="9">
        <v>661071.0</v>
      </c>
    </row>
    <row r="7" ht="14.25" customHeight="1">
      <c r="A7" s="4">
        <v>45778.0</v>
      </c>
      <c r="B7" s="5" t="s">
        <v>31</v>
      </c>
      <c r="C7" s="6" t="s">
        <v>32</v>
      </c>
      <c r="D7" s="7" t="s">
        <v>28</v>
      </c>
      <c r="E7" s="7" t="s">
        <v>28</v>
      </c>
      <c r="F7" s="7" t="s">
        <v>28</v>
      </c>
      <c r="G7" s="8">
        <v>31.0</v>
      </c>
      <c r="H7" s="8">
        <v>0.0</v>
      </c>
      <c r="I7" s="8">
        <v>249751.0</v>
      </c>
      <c r="J7" s="9">
        <v>227914.0</v>
      </c>
      <c r="K7" s="9">
        <v>74925.0</v>
      </c>
      <c r="L7" s="9">
        <v>37463.0</v>
      </c>
      <c r="M7" s="9">
        <f t="shared" si="1"/>
        <v>227945</v>
      </c>
      <c r="N7" s="9">
        <v>56667.0</v>
      </c>
      <c r="O7" s="7" t="s">
        <v>28</v>
      </c>
      <c r="P7" s="7">
        <v>11744.0</v>
      </c>
      <c r="Q7" s="9">
        <v>0.0</v>
      </c>
      <c r="R7" s="9">
        <v>0.0</v>
      </c>
      <c r="S7" s="8">
        <v>0.0</v>
      </c>
      <c r="T7" s="10">
        <f t="shared" si="2"/>
        <v>352077</v>
      </c>
      <c r="U7" s="9">
        <v>8991.0</v>
      </c>
      <c r="V7" s="9">
        <v>200.0</v>
      </c>
      <c r="W7" s="9">
        <v>12345.0</v>
      </c>
      <c r="X7" s="9">
        <v>0.0</v>
      </c>
      <c r="Y7" s="9">
        <v>29536.0</v>
      </c>
      <c r="Z7" s="9">
        <v>198378.0</v>
      </c>
    </row>
    <row r="8" ht="14.25" customHeight="1">
      <c r="A8" s="4">
        <v>45809.0</v>
      </c>
      <c r="B8" s="5" t="s">
        <v>26</v>
      </c>
      <c r="C8" s="6" t="s">
        <v>27</v>
      </c>
      <c r="D8" s="7" t="s">
        <v>28</v>
      </c>
      <c r="E8" s="7" t="s">
        <v>28</v>
      </c>
      <c r="F8" s="7" t="s">
        <v>28</v>
      </c>
      <c r="G8" s="8">
        <v>30.0</v>
      </c>
      <c r="H8" s="8">
        <v>2.0</v>
      </c>
      <c r="I8" s="8">
        <v>350000.0</v>
      </c>
      <c r="J8" s="9">
        <v>275428.0</v>
      </c>
      <c r="K8" s="9">
        <v>98000.0</v>
      </c>
      <c r="L8" s="9">
        <v>49000.0</v>
      </c>
      <c r="M8" s="9">
        <f t="shared" si="1"/>
        <v>275460</v>
      </c>
      <c r="N8" s="9">
        <v>58333.0</v>
      </c>
      <c r="O8" s="7" t="s">
        <v>28</v>
      </c>
      <c r="P8" s="7">
        <v>39750.0</v>
      </c>
      <c r="Q8" s="9">
        <v>0.0</v>
      </c>
      <c r="R8" s="9">
        <v>0.0</v>
      </c>
      <c r="S8" s="8">
        <v>0.0</v>
      </c>
      <c r="T8" s="10">
        <f t="shared" si="2"/>
        <v>462210</v>
      </c>
      <c r="U8" s="9">
        <v>11760.0</v>
      </c>
      <c r="V8" s="9">
        <v>200.0</v>
      </c>
      <c r="W8" s="9">
        <v>12345.0</v>
      </c>
      <c r="X8" s="9">
        <v>0.0</v>
      </c>
      <c r="Y8" s="9">
        <v>24305.0</v>
      </c>
      <c r="Z8" s="9">
        <v>251123.0</v>
      </c>
    </row>
    <row r="9" ht="14.25" customHeight="1">
      <c r="A9" s="4">
        <v>45809.0</v>
      </c>
      <c r="B9" s="5" t="s">
        <v>29</v>
      </c>
      <c r="C9" s="6" t="s">
        <v>30</v>
      </c>
      <c r="D9" s="7" t="s">
        <v>28</v>
      </c>
      <c r="E9" s="7" t="s">
        <v>28</v>
      </c>
      <c r="F9" s="7" t="s">
        <v>28</v>
      </c>
      <c r="G9" s="8">
        <v>30.0</v>
      </c>
      <c r="H9" s="8">
        <v>0.0</v>
      </c>
      <c r="I9" s="8">
        <v>882917.0</v>
      </c>
      <c r="J9" s="9">
        <v>707742.0</v>
      </c>
      <c r="K9" s="9">
        <v>264875.0</v>
      </c>
      <c r="L9" s="9">
        <v>132438.0</v>
      </c>
      <c r="M9" s="9">
        <f t="shared" si="1"/>
        <v>707772</v>
      </c>
      <c r="N9" s="9">
        <v>0.0</v>
      </c>
      <c r="O9" s="7" t="s">
        <v>28</v>
      </c>
      <c r="P9" s="7">
        <v>60239.0</v>
      </c>
      <c r="Q9" s="9">
        <v>0.0</v>
      </c>
      <c r="R9" s="9">
        <v>0.0</v>
      </c>
      <c r="S9" s="8">
        <v>26488.0</v>
      </c>
      <c r="T9" s="10">
        <f t="shared" si="2"/>
        <v>1165324</v>
      </c>
      <c r="U9" s="9">
        <v>1800.0</v>
      </c>
      <c r="V9" s="9">
        <v>200.0</v>
      </c>
      <c r="W9" s="9">
        <v>67500.0</v>
      </c>
      <c r="X9" s="9">
        <v>0.0</v>
      </c>
      <c r="Y9" s="9">
        <v>569500.0</v>
      </c>
      <c r="Z9" s="9">
        <v>138242.0</v>
      </c>
    </row>
    <row r="10" ht="14.25" customHeight="1">
      <c r="A10" s="4">
        <v>45809.0</v>
      </c>
      <c r="B10" s="5" t="s">
        <v>31</v>
      </c>
      <c r="C10" s="6" t="s">
        <v>32</v>
      </c>
      <c r="D10" s="7" t="s">
        <v>28</v>
      </c>
      <c r="E10" s="7" t="s">
        <v>28</v>
      </c>
      <c r="F10" s="7" t="s">
        <v>28</v>
      </c>
      <c r="G10" s="8">
        <v>30.0</v>
      </c>
      <c r="H10" s="8">
        <v>0.0</v>
      </c>
      <c r="I10" s="8">
        <v>249751.0</v>
      </c>
      <c r="J10" s="9">
        <v>265901.0</v>
      </c>
      <c r="K10" s="9">
        <v>87413.0</v>
      </c>
      <c r="L10" s="9">
        <v>43707.0</v>
      </c>
      <c r="M10" s="9">
        <f t="shared" si="1"/>
        <v>265931</v>
      </c>
      <c r="N10" s="9">
        <v>66112.0</v>
      </c>
      <c r="O10" s="7" t="s">
        <v>28</v>
      </c>
      <c r="P10" s="7">
        <v>11744.0</v>
      </c>
      <c r="Q10" s="9">
        <v>0.0</v>
      </c>
      <c r="R10" s="9">
        <v>0.0</v>
      </c>
      <c r="S10" s="8">
        <v>0.0</v>
      </c>
      <c r="T10" s="10">
        <f t="shared" si="2"/>
        <v>408795</v>
      </c>
      <c r="U10" s="9">
        <v>10490.0</v>
      </c>
      <c r="V10" s="9">
        <v>200.0</v>
      </c>
      <c r="W10" s="9">
        <v>12345.0</v>
      </c>
      <c r="X10" s="9">
        <v>0.0</v>
      </c>
      <c r="Y10" s="9">
        <v>66035.0</v>
      </c>
      <c r="Z10" s="9">
        <v>199866.0</v>
      </c>
    </row>
    <row r="11" ht="14.25" customHeight="1">
      <c r="A11" s="4">
        <v>45839.0</v>
      </c>
      <c r="B11" s="5" t="s">
        <v>26</v>
      </c>
      <c r="C11" s="6" t="s">
        <v>27</v>
      </c>
      <c r="D11" s="7" t="s">
        <v>28</v>
      </c>
      <c r="E11" s="7" t="s">
        <v>28</v>
      </c>
      <c r="F11" s="7" t="s">
        <v>28</v>
      </c>
      <c r="G11" s="8">
        <v>31.0</v>
      </c>
      <c r="H11" s="8">
        <v>0.0</v>
      </c>
      <c r="I11" s="8">
        <v>350000.0</v>
      </c>
      <c r="J11" s="9">
        <v>305102.0</v>
      </c>
      <c r="K11" s="9">
        <v>105000.0</v>
      </c>
      <c r="L11" s="9">
        <v>52500.0</v>
      </c>
      <c r="M11" s="9">
        <f t="shared" si="1"/>
        <v>305133</v>
      </c>
      <c r="N11" s="9">
        <v>62500.0</v>
      </c>
      <c r="O11" s="7" t="s">
        <v>28</v>
      </c>
      <c r="P11" s="7">
        <v>39750.0</v>
      </c>
      <c r="Q11" s="9">
        <v>10000.0</v>
      </c>
      <c r="R11" s="9">
        <v>0.0</v>
      </c>
      <c r="S11" s="8">
        <v>0.0</v>
      </c>
      <c r="T11" s="10">
        <f t="shared" si="2"/>
        <v>512383</v>
      </c>
      <c r="U11" s="9">
        <v>12600.0</v>
      </c>
      <c r="V11" s="9">
        <v>300.0</v>
      </c>
      <c r="W11" s="9">
        <v>13430.0</v>
      </c>
      <c r="X11" s="9">
        <v>0.0</v>
      </c>
      <c r="Y11" s="9">
        <v>26230.0</v>
      </c>
      <c r="Z11" s="9">
        <v>278872.0</v>
      </c>
    </row>
    <row r="12" ht="14.25" customHeight="1">
      <c r="A12" s="4">
        <v>45839.0</v>
      </c>
      <c r="B12" s="5" t="s">
        <v>29</v>
      </c>
      <c r="C12" s="6" t="s">
        <v>30</v>
      </c>
      <c r="D12" s="7" t="s">
        <v>28</v>
      </c>
      <c r="E12" s="7" t="s">
        <v>28</v>
      </c>
      <c r="F12" s="7" t="s">
        <v>28</v>
      </c>
      <c r="G12" s="8">
        <v>31.0</v>
      </c>
      <c r="H12" s="8">
        <v>1.0</v>
      </c>
      <c r="I12" s="8">
        <v>882917.0</v>
      </c>
      <c r="J12" s="9">
        <v>684913.0</v>
      </c>
      <c r="K12" s="9">
        <v>256331.0</v>
      </c>
      <c r="L12" s="9">
        <v>128166.0</v>
      </c>
      <c r="M12" s="9">
        <f t="shared" si="1"/>
        <v>684945</v>
      </c>
      <c r="N12" s="9">
        <v>0.0</v>
      </c>
      <c r="O12" s="7" t="s">
        <v>28</v>
      </c>
      <c r="P12" s="7">
        <v>60239.0</v>
      </c>
      <c r="Q12" s="9">
        <v>0.0</v>
      </c>
      <c r="R12" s="9">
        <v>0.0</v>
      </c>
      <c r="S12" s="8">
        <v>26488.0</v>
      </c>
      <c r="T12" s="10">
        <f t="shared" si="2"/>
        <v>1129681</v>
      </c>
      <c r="U12" s="9">
        <v>1800.0</v>
      </c>
      <c r="V12" s="9">
        <v>300.0</v>
      </c>
      <c r="W12" s="9">
        <v>67500.0</v>
      </c>
      <c r="X12" s="9">
        <v>15500.0</v>
      </c>
      <c r="Y12" s="9">
        <v>85000.0</v>
      </c>
      <c r="Z12" s="9">
        <v>599913.0</v>
      </c>
    </row>
    <row r="13" ht="14.25" customHeight="1">
      <c r="A13" s="4">
        <v>45839.0</v>
      </c>
      <c r="B13" s="5" t="s">
        <v>31</v>
      </c>
      <c r="C13" s="6" t="s">
        <v>32</v>
      </c>
      <c r="D13" s="7" t="s">
        <v>28</v>
      </c>
      <c r="E13" s="7" t="s">
        <v>28</v>
      </c>
      <c r="F13" s="7" t="s">
        <v>28</v>
      </c>
      <c r="G13" s="8">
        <v>31.0</v>
      </c>
      <c r="H13" s="8">
        <v>0.0</v>
      </c>
      <c r="I13" s="8">
        <v>249751.0</v>
      </c>
      <c r="J13" s="9">
        <v>227914.0</v>
      </c>
      <c r="K13" s="9">
        <v>74925.0</v>
      </c>
      <c r="L13" s="9">
        <v>37463.0</v>
      </c>
      <c r="M13" s="9">
        <f t="shared" si="1"/>
        <v>227945</v>
      </c>
      <c r="N13" s="9">
        <v>56667.0</v>
      </c>
      <c r="O13" s="7" t="s">
        <v>28</v>
      </c>
      <c r="P13" s="7">
        <v>11744.0</v>
      </c>
      <c r="Q13" s="9">
        <v>0.0</v>
      </c>
      <c r="R13" s="9">
        <v>0.0</v>
      </c>
      <c r="S13" s="8">
        <v>0.0</v>
      </c>
      <c r="T13" s="10">
        <f t="shared" si="2"/>
        <v>352077</v>
      </c>
      <c r="U13" s="9">
        <v>8991.0</v>
      </c>
      <c r="V13" s="9">
        <v>300.0</v>
      </c>
      <c r="W13" s="9">
        <v>12345.0</v>
      </c>
      <c r="X13" s="9">
        <v>0.0</v>
      </c>
      <c r="Y13" s="9">
        <v>29536.0</v>
      </c>
      <c r="Z13" s="9">
        <v>198378.0</v>
      </c>
    </row>
    <row r="14" ht="14.25" customHeight="1">
      <c r="A14" s="4">
        <v>45870.0</v>
      </c>
      <c r="B14" s="5" t="s">
        <v>26</v>
      </c>
      <c r="C14" s="6" t="s">
        <v>27</v>
      </c>
      <c r="D14" s="7" t="s">
        <v>28</v>
      </c>
      <c r="E14" s="7" t="s">
        <v>28</v>
      </c>
      <c r="F14" s="7" t="s">
        <v>28</v>
      </c>
      <c r="G14" s="8">
        <v>31.0</v>
      </c>
      <c r="H14" s="8">
        <v>5.0</v>
      </c>
      <c r="I14" s="8">
        <v>350000.0</v>
      </c>
      <c r="J14" s="9">
        <v>247506.0</v>
      </c>
      <c r="K14" s="9">
        <v>88065.0</v>
      </c>
      <c r="L14" s="9">
        <v>44032.0</v>
      </c>
      <c r="M14" s="9">
        <f t="shared" si="1"/>
        <v>247542</v>
      </c>
      <c r="N14" s="9">
        <v>52419.0</v>
      </c>
      <c r="O14" s="7" t="s">
        <v>28</v>
      </c>
      <c r="P14" s="7">
        <v>39750.0</v>
      </c>
      <c r="Q14" s="9">
        <v>0.0</v>
      </c>
      <c r="R14" s="9">
        <v>0.0</v>
      </c>
      <c r="S14" s="8">
        <v>0.0</v>
      </c>
      <c r="T14" s="10">
        <f t="shared" si="2"/>
        <v>419389</v>
      </c>
      <c r="U14" s="9">
        <v>10568.0</v>
      </c>
      <c r="V14" s="9">
        <v>200.0</v>
      </c>
      <c r="W14" s="9">
        <v>12567.0</v>
      </c>
      <c r="X14" s="9">
        <v>5500.0</v>
      </c>
      <c r="Y14" s="9">
        <v>28835.0</v>
      </c>
      <c r="Z14" s="9">
        <v>218671.0</v>
      </c>
    </row>
    <row r="15" ht="14.25" customHeight="1">
      <c r="A15" s="4">
        <v>45870.0</v>
      </c>
      <c r="B15" s="5" t="s">
        <v>29</v>
      </c>
      <c r="C15" s="6" t="s">
        <v>30</v>
      </c>
      <c r="D15" s="7" t="s">
        <v>28</v>
      </c>
      <c r="E15" s="7" t="s">
        <v>28</v>
      </c>
      <c r="F15" s="7" t="s">
        <v>28</v>
      </c>
      <c r="G15" s="8">
        <v>31.0</v>
      </c>
      <c r="H15" s="8">
        <v>3.0</v>
      </c>
      <c r="I15" s="8">
        <v>882917.0</v>
      </c>
      <c r="J15" s="9">
        <v>742051.0</v>
      </c>
      <c r="K15" s="9">
        <v>240145.0</v>
      </c>
      <c r="L15" s="9">
        <v>120073.0</v>
      </c>
      <c r="M15" s="9">
        <f t="shared" si="1"/>
        <v>742085</v>
      </c>
      <c r="N15" s="9">
        <v>0.0</v>
      </c>
      <c r="O15" s="7" t="s">
        <v>28</v>
      </c>
      <c r="P15" s="7">
        <v>60239.0</v>
      </c>
      <c r="Q15" s="9">
        <v>100000.0</v>
      </c>
      <c r="R15" s="9">
        <v>0.0</v>
      </c>
      <c r="S15" s="8">
        <v>26588.0</v>
      </c>
      <c r="T15" s="10">
        <f t="shared" si="2"/>
        <v>1262542</v>
      </c>
      <c r="U15" s="9">
        <v>1800.0</v>
      </c>
      <c r="V15" s="9">
        <v>200.0</v>
      </c>
      <c r="W15" s="9">
        <v>71200.0</v>
      </c>
      <c r="X15" s="9">
        <v>0.0</v>
      </c>
      <c r="Y15" s="9">
        <v>73200.0</v>
      </c>
      <c r="Z15" s="9">
        <v>668851.0</v>
      </c>
    </row>
    <row r="16" ht="14.25" customHeight="1">
      <c r="A16" s="4">
        <v>45870.0</v>
      </c>
      <c r="B16" s="5" t="s">
        <v>31</v>
      </c>
      <c r="C16" s="6" t="s">
        <v>32</v>
      </c>
      <c r="D16" s="7" t="s">
        <v>28</v>
      </c>
      <c r="E16" s="7" t="s">
        <v>28</v>
      </c>
      <c r="F16" s="7" t="s">
        <v>28</v>
      </c>
      <c r="G16" s="8">
        <v>31.0</v>
      </c>
      <c r="H16" s="8">
        <v>2.0</v>
      </c>
      <c r="I16" s="8">
        <v>249751.0</v>
      </c>
      <c r="J16" s="9">
        <v>213210.0</v>
      </c>
      <c r="K16" s="9">
        <v>70091.0</v>
      </c>
      <c r="L16" s="9">
        <v>35046.0</v>
      </c>
      <c r="M16" s="9">
        <f t="shared" si="1"/>
        <v>213243</v>
      </c>
      <c r="N16" s="9">
        <v>53011.0</v>
      </c>
      <c r="O16" s="7" t="s">
        <v>28</v>
      </c>
      <c r="P16" s="7">
        <v>11744.0</v>
      </c>
      <c r="Q16" s="9">
        <v>0.0</v>
      </c>
      <c r="R16" s="9">
        <v>0.0</v>
      </c>
      <c r="S16" s="8">
        <v>0.0</v>
      </c>
      <c r="T16" s="10">
        <f t="shared" si="2"/>
        <v>330124</v>
      </c>
      <c r="U16" s="9">
        <v>8411.0</v>
      </c>
      <c r="V16" s="9">
        <v>200.0</v>
      </c>
      <c r="W16" s="9">
        <v>12345.0</v>
      </c>
      <c r="X16" s="9">
        <v>0.0</v>
      </c>
      <c r="Y16" s="9">
        <v>28956.0</v>
      </c>
      <c r="Z16" s="9">
        <v>184254.0</v>
      </c>
    </row>
    <row r="17" ht="14.25" customHeight="1">
      <c r="A17" s="4">
        <v>45901.0</v>
      </c>
      <c r="B17" s="5" t="s">
        <v>26</v>
      </c>
      <c r="C17" s="6" t="s">
        <v>27</v>
      </c>
      <c r="D17" s="7" t="s">
        <v>28</v>
      </c>
      <c r="E17" s="7" t="s">
        <v>28</v>
      </c>
      <c r="F17" s="7" t="s">
        <v>28</v>
      </c>
      <c r="G17" s="8">
        <v>30.0</v>
      </c>
      <c r="H17" s="8">
        <v>0.0</v>
      </c>
      <c r="I17" s="8">
        <v>350000.0</v>
      </c>
      <c r="J17" s="9">
        <v>389776.0</v>
      </c>
      <c r="K17" s="9">
        <v>112000.0</v>
      </c>
      <c r="L17" s="9">
        <v>56000.0</v>
      </c>
      <c r="M17" s="9">
        <f t="shared" si="1"/>
        <v>389806</v>
      </c>
      <c r="N17" s="9">
        <v>66667.0</v>
      </c>
      <c r="O17" s="7" t="s">
        <v>28</v>
      </c>
      <c r="P17" s="7">
        <v>39750.0</v>
      </c>
      <c r="Q17" s="9">
        <v>0.0</v>
      </c>
      <c r="R17" s="9">
        <v>75000.0</v>
      </c>
      <c r="S17" s="8">
        <v>0.0</v>
      </c>
      <c r="T17" s="10">
        <f t="shared" si="2"/>
        <v>672556</v>
      </c>
      <c r="U17" s="9">
        <v>13440.0</v>
      </c>
      <c r="V17" s="9">
        <v>200.0</v>
      </c>
      <c r="W17" s="9">
        <v>14807.0</v>
      </c>
      <c r="X17" s="9">
        <v>0.0</v>
      </c>
      <c r="Y17" s="9">
        <v>103447.0</v>
      </c>
      <c r="Z17" s="9">
        <v>286329.0</v>
      </c>
    </row>
    <row r="18" ht="14.25" customHeight="1">
      <c r="A18" s="4">
        <v>45901.0</v>
      </c>
      <c r="B18" s="5" t="s">
        <v>29</v>
      </c>
      <c r="C18" s="6" t="s">
        <v>30</v>
      </c>
      <c r="D18" s="7" t="s">
        <v>28</v>
      </c>
      <c r="E18" s="7" t="s">
        <v>28</v>
      </c>
      <c r="F18" s="7" t="s">
        <v>28</v>
      </c>
      <c r="G18" s="8">
        <v>30.0</v>
      </c>
      <c r="H18" s="8">
        <v>0.0</v>
      </c>
      <c r="I18" s="8">
        <v>882917.0</v>
      </c>
      <c r="J18" s="9">
        <v>1634434.0</v>
      </c>
      <c r="K18" s="9">
        <v>274738.0</v>
      </c>
      <c r="L18" s="9">
        <v>137369.0</v>
      </c>
      <c r="M18" s="9">
        <f t="shared" si="1"/>
        <v>1634464</v>
      </c>
      <c r="N18" s="9">
        <v>0.0</v>
      </c>
      <c r="O18" s="7" t="s">
        <v>28</v>
      </c>
      <c r="P18" s="7">
        <v>60239.0</v>
      </c>
      <c r="Q18" s="9">
        <v>0.0</v>
      </c>
      <c r="R18" s="9">
        <v>900000.0</v>
      </c>
      <c r="S18" s="8">
        <v>26488.0</v>
      </c>
      <c r="T18" s="10">
        <f t="shared" si="2"/>
        <v>3006810</v>
      </c>
      <c r="U18" s="9">
        <v>1800.0</v>
      </c>
      <c r="V18" s="9">
        <v>200.0</v>
      </c>
      <c r="W18" s="9">
        <v>335900.0</v>
      </c>
      <c r="X18" s="9">
        <v>0.0</v>
      </c>
      <c r="Y18" s="9">
        <v>1337900.0</v>
      </c>
      <c r="Z18" s="9">
        <v>296534.0</v>
      </c>
    </row>
    <row r="19" ht="14.25" customHeight="1">
      <c r="A19" s="4">
        <v>45901.0</v>
      </c>
      <c r="B19" s="5" t="s">
        <v>31</v>
      </c>
      <c r="C19" s="6" t="s">
        <v>32</v>
      </c>
      <c r="D19" s="7" t="s">
        <v>28</v>
      </c>
      <c r="E19" s="7" t="s">
        <v>28</v>
      </c>
      <c r="F19" s="7" t="s">
        <v>28</v>
      </c>
      <c r="G19" s="8">
        <v>30.0</v>
      </c>
      <c r="H19" s="8">
        <v>0.0</v>
      </c>
      <c r="I19" s="8">
        <v>249751.0</v>
      </c>
      <c r="J19" s="9">
        <v>243109.0</v>
      </c>
      <c r="K19" s="9">
        <v>79920.0</v>
      </c>
      <c r="L19" s="9">
        <v>39961.0</v>
      </c>
      <c r="M19" s="9">
        <f t="shared" si="1"/>
        <v>243139</v>
      </c>
      <c r="N19" s="9">
        <v>60445.0</v>
      </c>
      <c r="O19" s="7" t="s">
        <v>28</v>
      </c>
      <c r="P19" s="7">
        <v>11744.0</v>
      </c>
      <c r="Q19" s="9">
        <v>0.0</v>
      </c>
      <c r="R19" s="9">
        <v>0.0</v>
      </c>
      <c r="S19" s="8">
        <v>0.0</v>
      </c>
      <c r="T19" s="10">
        <f t="shared" si="2"/>
        <v>374764</v>
      </c>
      <c r="U19" s="9">
        <v>9590.0</v>
      </c>
      <c r="V19" s="9">
        <v>200.0</v>
      </c>
      <c r="W19" s="9">
        <v>12345.0</v>
      </c>
      <c r="X19" s="9">
        <v>0.0</v>
      </c>
      <c r="Y19" s="9">
        <v>30135.0</v>
      </c>
      <c r="Z19" s="9">
        <v>212974.0</v>
      </c>
    </row>
    <row r="20" ht="14.25" customHeight="1">
      <c r="A20" s="4">
        <v>45931.0</v>
      </c>
      <c r="B20" s="5" t="s">
        <v>26</v>
      </c>
      <c r="C20" s="6" t="s">
        <v>27</v>
      </c>
      <c r="D20" s="7" t="s">
        <v>28</v>
      </c>
      <c r="E20" s="7" t="s">
        <v>28</v>
      </c>
      <c r="F20" s="7" t="s">
        <v>28</v>
      </c>
      <c r="G20" s="8">
        <v>31.0</v>
      </c>
      <c r="H20" s="8">
        <v>0.0</v>
      </c>
      <c r="I20" s="8">
        <v>350000.0</v>
      </c>
      <c r="J20" s="9">
        <v>314140.0</v>
      </c>
      <c r="K20" s="9">
        <v>111774.0</v>
      </c>
      <c r="L20" s="9">
        <v>55887.0</v>
      </c>
      <c r="M20" s="9">
        <f t="shared" si="1"/>
        <v>314171</v>
      </c>
      <c r="N20" s="9">
        <v>66532.0</v>
      </c>
      <c r="O20" s="7" t="s">
        <v>28</v>
      </c>
      <c r="P20" s="7">
        <v>39750.0</v>
      </c>
      <c r="Q20" s="9">
        <v>0.0</v>
      </c>
      <c r="R20" s="9">
        <v>0.0</v>
      </c>
      <c r="S20" s="8">
        <v>0.0</v>
      </c>
      <c r="T20" s="10">
        <f t="shared" si="2"/>
        <v>521582</v>
      </c>
      <c r="U20" s="9">
        <v>13413.0</v>
      </c>
      <c r="V20" s="9">
        <v>200.0</v>
      </c>
      <c r="W20" s="9">
        <v>13221.0</v>
      </c>
      <c r="X20" s="9">
        <v>0.0</v>
      </c>
      <c r="Y20" s="9">
        <v>26834.0</v>
      </c>
      <c r="Z20" s="9">
        <v>287306.0</v>
      </c>
    </row>
    <row r="21" ht="14.25" customHeight="1">
      <c r="A21" s="4">
        <v>45931.0</v>
      </c>
      <c r="B21" s="5" t="s">
        <v>29</v>
      </c>
      <c r="C21" s="6" t="s">
        <v>30</v>
      </c>
      <c r="D21" s="7" t="s">
        <v>28</v>
      </c>
      <c r="E21" s="7" t="s">
        <v>28</v>
      </c>
      <c r="F21" s="7" t="s">
        <v>28</v>
      </c>
      <c r="G21" s="8">
        <v>31.0</v>
      </c>
      <c r="H21" s="8">
        <v>0.0</v>
      </c>
      <c r="I21" s="8">
        <v>882917.0</v>
      </c>
      <c r="J21" s="9">
        <v>710742.0</v>
      </c>
      <c r="K21" s="9">
        <v>265875.0</v>
      </c>
      <c r="L21" s="9">
        <v>132938.0</v>
      </c>
      <c r="M21" s="9">
        <f t="shared" si="1"/>
        <v>710773</v>
      </c>
      <c r="N21" s="9">
        <v>0.0</v>
      </c>
      <c r="O21" s="7" t="s">
        <v>28</v>
      </c>
      <c r="P21" s="7">
        <v>60239.0</v>
      </c>
      <c r="Q21" s="9">
        <v>0.0</v>
      </c>
      <c r="R21" s="9">
        <v>0.0</v>
      </c>
      <c r="S21" s="8">
        <v>26488.0</v>
      </c>
      <c r="T21" s="10">
        <f t="shared" si="2"/>
        <v>1169825</v>
      </c>
      <c r="U21" s="9">
        <v>1800.0</v>
      </c>
      <c r="V21" s="9">
        <v>200.0</v>
      </c>
      <c r="W21" s="9">
        <v>95300.0</v>
      </c>
      <c r="X21" s="9">
        <v>0.0</v>
      </c>
      <c r="Y21" s="9">
        <v>97300.0</v>
      </c>
      <c r="Z21" s="9">
        <v>613442.0</v>
      </c>
    </row>
    <row r="22" ht="14.25" customHeight="1">
      <c r="A22" s="4">
        <v>45931.0</v>
      </c>
      <c r="B22" s="5" t="s">
        <v>31</v>
      </c>
      <c r="C22" s="6" t="s">
        <v>32</v>
      </c>
      <c r="D22" s="7" t="s">
        <v>28</v>
      </c>
      <c r="E22" s="7" t="s">
        <v>28</v>
      </c>
      <c r="F22" s="7" t="s">
        <v>28</v>
      </c>
      <c r="G22" s="8">
        <v>31.0</v>
      </c>
      <c r="H22" s="8">
        <v>0.0</v>
      </c>
      <c r="I22" s="8">
        <v>249751.0</v>
      </c>
      <c r="J22" s="9">
        <v>227914.0</v>
      </c>
      <c r="K22" s="9">
        <v>74925.0</v>
      </c>
      <c r="L22" s="9">
        <v>37463.0</v>
      </c>
      <c r="M22" s="9">
        <f t="shared" si="1"/>
        <v>227945</v>
      </c>
      <c r="N22" s="9">
        <v>56667.0</v>
      </c>
      <c r="O22" s="7" t="s">
        <v>28</v>
      </c>
      <c r="P22" s="7">
        <v>11744.0</v>
      </c>
      <c r="Q22" s="9">
        <v>0.0</v>
      </c>
      <c r="R22" s="9">
        <v>0.0</v>
      </c>
      <c r="S22" s="8">
        <v>0.0</v>
      </c>
      <c r="T22" s="10">
        <f t="shared" si="2"/>
        <v>352077</v>
      </c>
      <c r="U22" s="9">
        <v>8991.0</v>
      </c>
      <c r="V22" s="9">
        <v>200.0</v>
      </c>
      <c r="W22" s="9">
        <v>12345.0</v>
      </c>
      <c r="X22" s="9">
        <v>0.0</v>
      </c>
      <c r="Y22" s="9">
        <v>29536.0</v>
      </c>
      <c r="Z22" s="9">
        <v>198378.0</v>
      </c>
    </row>
    <row r="23" ht="14.25" customHeight="1">
      <c r="A23" s="4">
        <v>45962.0</v>
      </c>
      <c r="B23" s="5" t="s">
        <v>26</v>
      </c>
      <c r="C23" s="6" t="s">
        <v>27</v>
      </c>
      <c r="D23" s="7" t="s">
        <v>28</v>
      </c>
      <c r="E23" s="7" t="s">
        <v>28</v>
      </c>
      <c r="F23" s="7" t="s">
        <v>28</v>
      </c>
      <c r="G23" s="8">
        <v>30.0</v>
      </c>
      <c r="H23" s="8">
        <v>0.0</v>
      </c>
      <c r="I23" s="8">
        <v>350000.0</v>
      </c>
      <c r="J23" s="9">
        <v>304938.0</v>
      </c>
      <c r="K23" s="9">
        <v>108500.0</v>
      </c>
      <c r="L23" s="9">
        <v>54250.0</v>
      </c>
      <c r="M23" s="9">
        <f t="shared" si="1"/>
        <v>304968</v>
      </c>
      <c r="N23" s="9">
        <v>64583.0</v>
      </c>
      <c r="O23" s="7" t="s">
        <v>28</v>
      </c>
      <c r="P23" s="7">
        <v>39750.0</v>
      </c>
      <c r="Q23" s="9">
        <v>0.0</v>
      </c>
      <c r="R23" s="9">
        <v>0.0</v>
      </c>
      <c r="S23" s="8">
        <v>0.0</v>
      </c>
      <c r="T23" s="10">
        <f t="shared" si="2"/>
        <v>507468</v>
      </c>
      <c r="U23" s="9">
        <v>13020.0</v>
      </c>
      <c r="V23" s="9">
        <v>200.0</v>
      </c>
      <c r="W23" s="9">
        <v>13221.0</v>
      </c>
      <c r="X23" s="9">
        <v>0.0</v>
      </c>
      <c r="Y23" s="9">
        <v>26441.0</v>
      </c>
      <c r="Z23" s="9">
        <v>278497.0</v>
      </c>
    </row>
    <row r="24" ht="14.25" customHeight="1">
      <c r="A24" s="4">
        <v>45962.0</v>
      </c>
      <c r="B24" s="5" t="s">
        <v>29</v>
      </c>
      <c r="C24" s="6" t="s">
        <v>30</v>
      </c>
      <c r="D24" s="7" t="s">
        <v>28</v>
      </c>
      <c r="E24" s="7" t="s">
        <v>28</v>
      </c>
      <c r="F24" s="7" t="s">
        <v>28</v>
      </c>
      <c r="G24" s="8">
        <v>30.0</v>
      </c>
      <c r="H24" s="8">
        <v>0.0</v>
      </c>
      <c r="I24" s="8">
        <v>882917.0</v>
      </c>
      <c r="J24" s="9">
        <v>710742.0</v>
      </c>
      <c r="K24" s="9">
        <v>265875.0</v>
      </c>
      <c r="L24" s="9">
        <v>132938.0</v>
      </c>
      <c r="M24" s="9">
        <f t="shared" si="1"/>
        <v>710772</v>
      </c>
      <c r="N24" s="9">
        <v>0.0</v>
      </c>
      <c r="O24" s="7" t="s">
        <v>28</v>
      </c>
      <c r="P24" s="7">
        <v>60239.0</v>
      </c>
      <c r="Q24" s="9">
        <v>0.0</v>
      </c>
      <c r="R24" s="9">
        <v>0.0</v>
      </c>
      <c r="S24" s="8">
        <v>26488.0</v>
      </c>
      <c r="T24" s="10">
        <f t="shared" si="2"/>
        <v>1169824</v>
      </c>
      <c r="U24" s="9">
        <v>1800.0</v>
      </c>
      <c r="V24" s="9">
        <v>200.0</v>
      </c>
      <c r="W24" s="9">
        <v>95300.0</v>
      </c>
      <c r="X24" s="9">
        <v>0.0</v>
      </c>
      <c r="Y24" s="9">
        <v>97300.0</v>
      </c>
      <c r="Z24" s="9">
        <v>613442.0</v>
      </c>
    </row>
    <row r="25" ht="14.25" customHeight="1">
      <c r="A25" s="4">
        <v>45962.0</v>
      </c>
      <c r="B25" s="5" t="s">
        <v>31</v>
      </c>
      <c r="C25" s="6" t="s">
        <v>32</v>
      </c>
      <c r="D25" s="7" t="s">
        <v>28</v>
      </c>
      <c r="E25" s="7" t="s">
        <v>28</v>
      </c>
      <c r="F25" s="7" t="s">
        <v>28</v>
      </c>
      <c r="G25" s="8">
        <v>30.0</v>
      </c>
      <c r="H25" s="8">
        <v>0.0</v>
      </c>
      <c r="I25" s="8">
        <v>249751.0</v>
      </c>
      <c r="J25" s="9">
        <v>227914.0</v>
      </c>
      <c r="K25" s="9">
        <v>74925.0</v>
      </c>
      <c r="L25" s="9">
        <v>37463.0</v>
      </c>
      <c r="M25" s="9">
        <f t="shared" si="1"/>
        <v>227944</v>
      </c>
      <c r="N25" s="9">
        <v>56667.0</v>
      </c>
      <c r="O25" s="7" t="s">
        <v>28</v>
      </c>
      <c r="P25" s="7">
        <v>11744.0</v>
      </c>
      <c r="Q25" s="9">
        <v>0.0</v>
      </c>
      <c r="R25" s="9">
        <v>0.0</v>
      </c>
      <c r="S25" s="8">
        <v>0.0</v>
      </c>
      <c r="T25" s="10">
        <f t="shared" si="2"/>
        <v>352076</v>
      </c>
      <c r="U25" s="9">
        <v>8991.0</v>
      </c>
      <c r="V25" s="9">
        <v>200.0</v>
      </c>
      <c r="W25" s="9">
        <v>12345.0</v>
      </c>
      <c r="X25" s="9">
        <v>4000.0</v>
      </c>
      <c r="Y25" s="9">
        <v>37536.0</v>
      </c>
      <c r="Z25" s="9">
        <v>190378.0</v>
      </c>
    </row>
    <row r="26" ht="14.25" customHeight="1">
      <c r="A26" s="4">
        <v>45992.0</v>
      </c>
      <c r="B26" s="5" t="s">
        <v>26</v>
      </c>
      <c r="C26" s="6" t="s">
        <v>27</v>
      </c>
      <c r="D26" s="7" t="s">
        <v>28</v>
      </c>
      <c r="E26" s="7" t="s">
        <v>28</v>
      </c>
      <c r="F26" s="7" t="s">
        <v>28</v>
      </c>
      <c r="G26" s="8">
        <v>31.0</v>
      </c>
      <c r="H26" s="8">
        <v>0.0</v>
      </c>
      <c r="I26" s="8">
        <v>350000.0</v>
      </c>
      <c r="J26" s="9">
        <v>295102.0</v>
      </c>
      <c r="K26" s="9">
        <v>105000.0</v>
      </c>
      <c r="L26" s="9">
        <v>52500.0</v>
      </c>
      <c r="M26" s="9">
        <f t="shared" si="1"/>
        <v>295133</v>
      </c>
      <c r="N26" s="9">
        <v>62500.0</v>
      </c>
      <c r="O26" s="7" t="s">
        <v>28</v>
      </c>
      <c r="P26" s="7">
        <v>39750.0</v>
      </c>
      <c r="Q26" s="9">
        <v>0.0</v>
      </c>
      <c r="R26" s="9">
        <v>0.0</v>
      </c>
      <c r="S26" s="8">
        <v>0.0</v>
      </c>
      <c r="T26" s="10">
        <f t="shared" si="2"/>
        <v>492383</v>
      </c>
      <c r="U26" s="9">
        <v>12600.0</v>
      </c>
      <c r="V26" s="9">
        <v>200.0</v>
      </c>
      <c r="W26" s="9">
        <v>13221.0</v>
      </c>
      <c r="X26" s="9">
        <v>0.0</v>
      </c>
      <c r="Y26" s="9">
        <v>26021.0</v>
      </c>
      <c r="Z26" s="9">
        <v>269081.0</v>
      </c>
    </row>
    <row r="27" ht="14.25" customHeight="1">
      <c r="A27" s="4">
        <v>45992.0</v>
      </c>
      <c r="B27" s="5" t="s">
        <v>29</v>
      </c>
      <c r="C27" s="6" t="s">
        <v>30</v>
      </c>
      <c r="D27" s="7" t="s">
        <v>28</v>
      </c>
      <c r="E27" s="7" t="s">
        <v>28</v>
      </c>
      <c r="F27" s="7" t="s">
        <v>28</v>
      </c>
      <c r="G27" s="8">
        <v>31.0</v>
      </c>
      <c r="H27" s="8">
        <v>0.0</v>
      </c>
      <c r="I27" s="8">
        <v>882917.0</v>
      </c>
      <c r="J27" s="9">
        <v>710742.0</v>
      </c>
      <c r="K27" s="9">
        <v>265875.0</v>
      </c>
      <c r="L27" s="9">
        <v>132938.0</v>
      </c>
      <c r="M27" s="9">
        <f t="shared" si="1"/>
        <v>710773</v>
      </c>
      <c r="N27" s="9">
        <v>0.0</v>
      </c>
      <c r="O27" s="7" t="s">
        <v>28</v>
      </c>
      <c r="P27" s="7">
        <v>60239.0</v>
      </c>
      <c r="Q27" s="9">
        <v>0.0</v>
      </c>
      <c r="R27" s="9">
        <v>0.0</v>
      </c>
      <c r="S27" s="8">
        <v>26488.0</v>
      </c>
      <c r="T27" s="10">
        <f t="shared" si="2"/>
        <v>1169825</v>
      </c>
      <c r="U27" s="9">
        <v>1800.0</v>
      </c>
      <c r="V27" s="9">
        <v>200.0</v>
      </c>
      <c r="W27" s="9">
        <v>95300.0</v>
      </c>
      <c r="X27" s="9">
        <v>0.0</v>
      </c>
      <c r="Y27" s="9">
        <v>97300.0</v>
      </c>
      <c r="Z27" s="9">
        <v>613442.0</v>
      </c>
    </row>
    <row r="28" ht="14.25" customHeight="1">
      <c r="A28" s="11">
        <v>45992.0</v>
      </c>
      <c r="B28" s="12" t="s">
        <v>31</v>
      </c>
      <c r="C28" s="13" t="s">
        <v>32</v>
      </c>
      <c r="D28" s="14" t="s">
        <v>28</v>
      </c>
      <c r="E28" s="14" t="s">
        <v>28</v>
      </c>
      <c r="F28" s="14" t="s">
        <v>28</v>
      </c>
      <c r="G28" s="15">
        <v>31.0</v>
      </c>
      <c r="H28" s="15">
        <v>0.0</v>
      </c>
      <c r="I28" s="15">
        <v>249751.0</v>
      </c>
      <c r="J28" s="16">
        <v>227914.0</v>
      </c>
      <c r="K28" s="16">
        <v>74925.0</v>
      </c>
      <c r="L28" s="16">
        <v>37463.0</v>
      </c>
      <c r="M28" s="16">
        <f t="shared" si="1"/>
        <v>227945</v>
      </c>
      <c r="N28" s="16">
        <v>56667.0</v>
      </c>
      <c r="O28" s="14" t="s">
        <v>28</v>
      </c>
      <c r="P28" s="14">
        <v>11744.0</v>
      </c>
      <c r="Q28" s="16">
        <v>0.0</v>
      </c>
      <c r="R28" s="16">
        <v>0.0</v>
      </c>
      <c r="S28" s="15">
        <v>0.0</v>
      </c>
      <c r="T28" s="17">
        <f t="shared" si="2"/>
        <v>352077</v>
      </c>
      <c r="U28" s="16">
        <v>8991.0</v>
      </c>
      <c r="V28" s="16">
        <v>200.0</v>
      </c>
      <c r="W28" s="16">
        <v>12345.0</v>
      </c>
      <c r="X28" s="16">
        <v>0.0</v>
      </c>
      <c r="Y28" s="16">
        <v>21536.0</v>
      </c>
      <c r="Z28" s="16">
        <v>206378.0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